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<sst xmlns="http://schemas.openxmlformats.org/spreadsheetml/2006/main" count="12" uniqueCount="12">
  <si>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dt</t>
  </si>
  <si>
    <t>ut</t>
  </si>
  <si>
    <t>et</t>
  </si>
  <si>
    <t>etm</t>
  </si>
  <si>
    <t>et/dt</t>
  </si>
  <si>
    <t>bt</t>
  </si>
  <si>
    <t>B</t>
  </si>
  <si>
    <t>n</t>
  </si>
  <si>
    <t>MSE</t>
  </si>
  <si>
    <t>RMSE</t>
  </si>
  <si>
    <t>MAPE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</si>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</sst>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"/>
        <bgColor theme="7" tint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0" xfId="0" applyAlignment="1">
      <alignment horizontal="center"/>
    </xf>
    <xf fontId="0" fillId="0" borderId="1" numFmtId="0" xfId="0" applyBorder="1" applyAlignment="1">
      <alignment horizontal="center"/>
    </xf>
    <xf fontId="0" fillId="2" borderId="1" numFmtId="0" xfId="0" applyFill="1" applyBorder="1" applyAlignment="1">
      <alignment horizontal="center"/>
    </xf>
    <xf fontId="0" fillId="2" borderId="1" numFmtId="0" xfId="0" applyFill="1" applyBorder="1" applyAlignment="1">
      <alignment horizontal="center"/>
    </xf>
    <xf fontId="0" fillId="0" borderId="1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3" max="3" style="1" width="9.140625"/>
  </cols>
  <sheetData>
    <row r="1" ht="14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4.25">
      <c r="A2" s="2">
        <v>30</v>
      </c>
      <c r="B2" s="2">
        <f>A2</f>
        <v>30</v>
      </c>
      <c r="C2" s="2">
        <f t="shared" ref="C2:C7" si="0">A2-B2</f>
        <v>0</v>
      </c>
      <c r="D2" s="2">
        <f t="shared" ref="D2:D7" si="1">ABS(C2)</f>
        <v>0</v>
      </c>
      <c r="E2" s="2">
        <f t="shared" ref="E2:E7" si="2">ABS(C2/A2)</f>
        <v>0</v>
      </c>
      <c r="F2" s="2">
        <f>A3-A2</f>
        <v>10</v>
      </c>
    </row>
    <row r="3" ht="14.25">
      <c r="A3" s="2">
        <v>40</v>
      </c>
      <c r="B3" s="2">
        <f>B2+F2+(1-($A$10)^2)*C2</f>
        <v>40</v>
      </c>
      <c r="C3" s="2">
        <f t="shared" si="0"/>
        <v>0</v>
      </c>
      <c r="D3" s="2">
        <f t="shared" si="1"/>
        <v>0</v>
      </c>
      <c r="E3" s="2">
        <f t="shared" si="2"/>
        <v>0</v>
      </c>
      <c r="F3" s="2">
        <f>F2+C2*((1-$A$10)^2)</f>
        <v>10</v>
      </c>
    </row>
    <row r="4" ht="14.25">
      <c r="A4" s="2">
        <v>20</v>
      </c>
      <c r="B4" s="2">
        <f>B3+F3+(1-($A$10)^2)*C3</f>
        <v>50</v>
      </c>
      <c r="C4" s="2">
        <f>A4-B4</f>
        <v>-30</v>
      </c>
      <c r="D4" s="2">
        <f t="shared" si="1"/>
        <v>30</v>
      </c>
      <c r="E4" s="2">
        <f t="shared" si="2"/>
        <v>1.5</v>
      </c>
      <c r="F4" s="2">
        <f>F3+C3*((1-$A$10)^2)</f>
        <v>10</v>
      </c>
    </row>
    <row r="5" ht="14.25">
      <c r="A5" s="2">
        <v>50</v>
      </c>
      <c r="B5" s="2">
        <f>B4+F4+(1-($A$10)^2)*C4</f>
        <v>37.802999999999997</v>
      </c>
      <c r="C5" s="2">
        <f t="shared" si="0"/>
        <v>12.197000000000003</v>
      </c>
      <c r="D5" s="2">
        <f t="shared" si="1"/>
        <v>12.197000000000003</v>
      </c>
      <c r="E5" s="2">
        <f t="shared" si="2"/>
        <v>0.24394000000000005</v>
      </c>
      <c r="F5" s="2">
        <f>F4+C4*((1-$A$10)^2)</f>
        <v>2.7970000000000006</v>
      </c>
    </row>
    <row r="6" ht="14.25">
      <c r="A6" s="2">
        <v>30</v>
      </c>
      <c r="B6" s="2">
        <f>B5+F5+(1-($A$10)^2)*C5</f>
        <v>49.624560299999999</v>
      </c>
      <c r="C6" s="2">
        <f t="shared" si="0"/>
        <v>-19.624560299999999</v>
      </c>
      <c r="D6" s="2">
        <f t="shared" si="1"/>
        <v>19.624560299999999</v>
      </c>
      <c r="E6" s="2">
        <f t="shared" si="2"/>
        <v>0.65415201000000001</v>
      </c>
      <c r="F6" s="2">
        <f>F5+C5*((1-$A$10)^2)</f>
        <v>5.7254997000000012</v>
      </c>
    </row>
    <row r="7" ht="14.25">
      <c r="A7" s="2">
        <v>60</v>
      </c>
      <c r="B7" s="2">
        <f>B6+F6+(1-($A$10)^2)*C6</f>
        <v>40.829847834029998</v>
      </c>
      <c r="C7" s="2">
        <f t="shared" si="0"/>
        <v>19.170152165970002</v>
      </c>
      <c r="D7" s="2">
        <f t="shared" si="1"/>
        <v>19.170152165970002</v>
      </c>
      <c r="E7" s="2">
        <f t="shared" si="2"/>
        <v>0.31950253609950002</v>
      </c>
      <c r="F7" s="2">
        <f>F6+C6*((1-$A$10)^2)</f>
        <v>1.0136427719700016</v>
      </c>
    </row>
    <row r="9" ht="14.25">
      <c r="A9" s="3" t="s">
        <v>6</v>
      </c>
      <c r="B9" s="4" t="s">
        <v>7</v>
      </c>
    </row>
    <row r="10" ht="14.25">
      <c r="A10" s="4">
        <v>0.51000000000000001</v>
      </c>
      <c r="B10" s="4">
        <v>6</v>
      </c>
    </row>
    <row r="12" ht="14.25">
      <c r="A12" s="5" t="s">
        <v>8</v>
      </c>
      <c r="B12" s="5">
        <f>(1/(B10-1))*SUM((C3:C7)^2)</f>
        <v>360.27698200695613</v>
      </c>
    </row>
    <row r="13" ht="14.25">
      <c r="A13" s="5" t="s">
        <v>9</v>
      </c>
      <c r="B13" s="5">
        <f>SQRT(B12)</f>
        <v>18.980963674348995</v>
      </c>
    </row>
    <row r="14" ht="14.25">
      <c r="A14" s="5" t="s">
        <v>10</v>
      </c>
      <c r="B14" s="5">
        <f>(1/(B10-1))*SUM(E3:E7)</f>
        <v>0.54351890921989998</v>
      </c>
    </row>
    <row r="15" ht="14.25">
      <c r="A15" s="5" t="s">
        <v>11</v>
      </c>
      <c r="B15" s="5">
        <f>(1/(B10-1))*SUM(D3:D7)</f>
        <v>16.198342493194001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2026-10-05T12:02:52Z</dcterms:modified>
</cp:coreProperties>
</file>