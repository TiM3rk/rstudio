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<sst xmlns="http://schemas.openxmlformats.org/spreadsheetml/2006/main" count="11" uniqueCount="11">
  <si>
    <t>dt</t>
  </si>
  <si>
    <t>ut</t>
  </si>
  <si>
    <t>et</t>
  </si>
  <si>
    <t>etm</t>
  </si>
  <si>
    <t>et/dt</t>
  </si>
  <si>
    <t>F</t>
  </si>
  <si>
    <t>n</t>
  </si>
  <si>
    <t>MSE</t>
  </si>
  <si>
    <t>RMSE</t>
  </si>
  <si>
    <t>MAPE</t>
  </si>
  <si>
    <t>MAE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</si>
</sst>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"/>
        <bgColor theme="7" tint="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0" numFmtId="0" xfId="0" applyAlignment="1">
      <alignment horizontal="center"/>
    </xf>
    <xf fontId="0" fillId="0" borderId="1" numFmtId="0" xfId="0" applyBorder="1" applyAlignment="1">
      <alignment horizontal="center"/>
    </xf>
    <xf fontId="0" fillId="2" borderId="1" numFmtId="0" xfId="0" applyFill="1" applyBorder="1" applyAlignment="1">
      <alignment horizontal="center"/>
    </xf>
    <xf fontId="0" fillId="0" borderId="1" numFmt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3" max="3" style="1" width="9.140625"/>
  </cols>
  <sheetData>
    <row r="1" ht="14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4.25">
      <c r="A2" s="2">
        <v>30</v>
      </c>
      <c r="B2" s="2">
        <v>30</v>
      </c>
      <c r="C2" s="2">
        <f>A2-B2</f>
        <v>0</v>
      </c>
      <c r="D2" s="2">
        <f>ABS(C2)</f>
        <v>0</v>
      </c>
      <c r="E2" s="2">
        <f>ABS(C2/A2)</f>
        <v>0</v>
      </c>
    </row>
    <row r="3" ht="14.25">
      <c r="A3" s="2">
        <v>40</v>
      </c>
      <c r="B3" s="2">
        <f>$A$10*A2+(1-$A$10)*B2</f>
        <v>30</v>
      </c>
      <c r="C3" s="2">
        <f>A3-B3</f>
        <v>10</v>
      </c>
      <c r="D3" s="2">
        <f>ABS(C3)</f>
        <v>10</v>
      </c>
      <c r="E3" s="2">
        <f>ABS(C3/A3)</f>
        <v>0.25</v>
      </c>
    </row>
    <row r="4" ht="14.25">
      <c r="A4" s="2">
        <v>20</v>
      </c>
      <c r="B4" s="2">
        <f>$A$10*A3+(1-$A$10)*B3</f>
        <v>37.800000000000004</v>
      </c>
      <c r="C4" s="2">
        <f>A4-B4</f>
        <v>-17.800000000000004</v>
      </c>
      <c r="D4" s="2">
        <f>ABS(C4)</f>
        <v>17.800000000000004</v>
      </c>
      <c r="E4" s="2">
        <f>ABS(C4/A4)</f>
        <v>0.89000000000000024</v>
      </c>
    </row>
    <row r="5" ht="14.25">
      <c r="A5" s="2">
        <v>50</v>
      </c>
      <c r="B5" s="2">
        <f>$A$10*A4+(1-$A$10)*B4</f>
        <v>23.916000000000004</v>
      </c>
      <c r="C5" s="2">
        <f>A5-B5</f>
        <v>26.083999999999996</v>
      </c>
      <c r="D5" s="2">
        <f>ABS(C5)</f>
        <v>26.083999999999996</v>
      </c>
      <c r="E5" s="2">
        <f>ABS(C5/A5)</f>
        <v>0.52167999999999992</v>
      </c>
    </row>
    <row r="6" ht="14.25">
      <c r="A6" s="2">
        <v>30</v>
      </c>
      <c r="B6" s="2">
        <f>$A$10*A5+(1-$A$10)*B5</f>
        <v>44.261519999999997</v>
      </c>
      <c r="C6" s="2">
        <f>A6-B6</f>
        <v>-14.261519999999997</v>
      </c>
      <c r="D6" s="2">
        <f>ABS(C6)</f>
        <v>14.261519999999997</v>
      </c>
      <c r="E6" s="2">
        <f>ABS(C6/A6)</f>
        <v>0.47538399999999992</v>
      </c>
    </row>
    <row r="7" ht="14.25">
      <c r="A7" s="2">
        <v>60</v>
      </c>
      <c r="B7" s="2">
        <f>$A$10*A6+(1-$A$10)*B6</f>
        <v>33.1375344</v>
      </c>
      <c r="C7" s="2">
        <f>A7-B7</f>
        <v>26.8624656</v>
      </c>
      <c r="D7" s="2">
        <f>ABS(C7)</f>
        <v>26.8624656</v>
      </c>
      <c r="E7" s="2">
        <f>ABS(C7/A7)</f>
        <v>0.44770776000000001</v>
      </c>
    </row>
    <row r="9" ht="14.25">
      <c r="A9" s="3" t="s">
        <v>5</v>
      </c>
      <c r="B9" s="3" t="s">
        <v>6</v>
      </c>
    </row>
    <row r="10" ht="14.25">
      <c r="A10" s="3">
        <v>0.78000000000000003</v>
      </c>
      <c r="B10" s="3">
        <v>6</v>
      </c>
    </row>
    <row r="12" ht="14.25">
      <c r="A12" s="4" t="s">
        <v>7</v>
      </c>
      <c r="B12" s="4">
        <f>(1/(B10-1))*SUM((C3:C7)^2)</f>
        <v>404.4396133643167</v>
      </c>
    </row>
    <row r="13" ht="14.25">
      <c r="A13" s="4" t="s">
        <v>8</v>
      </c>
      <c r="B13" s="4">
        <f>SQRT(B12)</f>
        <v>20.110684060079027</v>
      </c>
    </row>
    <row r="14" ht="14.25">
      <c r="A14" s="4" t="s">
        <v>9</v>
      </c>
      <c r="B14" s="4">
        <f>(1/(B10-1))*SUM(E3:E7)</f>
        <v>0.51695435200000006</v>
      </c>
    </row>
    <row r="15" ht="14.25">
      <c r="A15" s="4" t="s">
        <v>10</v>
      </c>
      <c r="B15" s="4">
        <f>(1/(B10-1))*SUM(D3:D7)</f>
        <v>19.001597120000003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2026-09-25T06:17:02Z</dcterms:modified>
</cp:coreProperties>
</file>