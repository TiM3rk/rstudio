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<sst xmlns="http://schemas.openxmlformats.org/spreadsheetml/2006/main" count="12" uniqueCount="12">
  <si>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dt</t>
  </si>
  <si>
    <t>ut</t>
  </si>
  <si>
    <t>et</t>
  </si>
  <si>
    <t>etm</t>
  </si>
  <si>
    <t>APE</t>
  </si>
  <si>
    <t>SE</t>
  </si>
  <si>
    <t>-</t>
  </si>
  <si>
    <t>n</t>
  </si>
  <si>
    <t>MAE</t>
  </si>
  <si>
    <t>MAPE</t>
  </si>
  <si>
    <t>MSE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</si>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</sst>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horizontal="center"/>
    </xf>
    <xf fontId="0" fillId="0" borderId="1" numFmtId="0" xfId="0" applyBorder="1" applyAlignment="1">
      <alignment horizontal="center"/>
    </xf>
    <xf fontId="0" fillId="0" borderId="1" numFmt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6384" style="1" width="9.140625"/>
  </cols>
  <sheetData>
    <row r="1" ht="14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4.25">
      <c r="A2" s="2">
        <v>30</v>
      </c>
      <c r="B2" s="3" t="s">
        <v>6</v>
      </c>
      <c r="C2" s="3" t="s">
        <v>6</v>
      </c>
      <c r="D2" s="3" t="s">
        <v>6</v>
      </c>
      <c r="E2" s="3" t="s">
        <v>6</v>
      </c>
      <c r="F2" s="3" t="s">
        <v>6</v>
      </c>
    </row>
    <row r="3" ht="14.25">
      <c r="A3" s="2">
        <v>40</v>
      </c>
      <c r="B3" s="2">
        <f>AVERAGEA(A2:A7)</f>
        <v>38.333333333333336</v>
      </c>
      <c r="C3" s="2">
        <f>A3-B3</f>
        <v>1.6666666666666643</v>
      </c>
      <c r="D3" s="2">
        <f>ABS(C3)</f>
        <v>1.6666666666666643</v>
      </c>
      <c r="E3" s="2">
        <f>C3/A3</f>
        <v>4.1666666666666609e-002</v>
      </c>
      <c r="F3" s="2">
        <f>C3^2</f>
        <v>2.7777777777777697</v>
      </c>
    </row>
    <row r="4" ht="14.25">
      <c r="A4" s="2">
        <v>20</v>
      </c>
      <c r="B4" s="2">
        <f>AVERAGEA(A2:A7)</f>
        <v>38.333333333333336</v>
      </c>
      <c r="C4" s="2">
        <f>A4-B4</f>
        <v>-18.333333333333336</v>
      </c>
      <c r="D4" s="2">
        <f>ABS(C4)</f>
        <v>18.333333333333336</v>
      </c>
      <c r="E4" s="2">
        <f>C4/A4</f>
        <v>-0.91666666666666674</v>
      </c>
      <c r="F4" s="2">
        <f>C4^2</f>
        <v>336.1111111111112</v>
      </c>
    </row>
    <row r="5" ht="14.25">
      <c r="A5" s="2">
        <v>50</v>
      </c>
      <c r="B5" s="2">
        <f>AVERAGEA(A2:A7)</f>
        <v>38.333333333333336</v>
      </c>
      <c r="C5" s="2">
        <f>A5-B5</f>
        <v>11.666666666666664</v>
      </c>
      <c r="D5" s="2">
        <f>ABS(C5)</f>
        <v>11.666666666666664</v>
      </c>
      <c r="E5" s="2">
        <f>C5/A5</f>
        <v>0.23333333333333328</v>
      </c>
      <c r="F5" s="2">
        <f>C5^2</f>
        <v>136.11111111111106</v>
      </c>
    </row>
    <row r="6" ht="14.25">
      <c r="A6" s="2">
        <v>30</v>
      </c>
      <c r="B6" s="2">
        <f>AVERAGEA(A2:A7)</f>
        <v>38.333333333333336</v>
      </c>
      <c r="C6" s="2">
        <f>A6-B6</f>
        <v>-8.3333333333333357</v>
      </c>
      <c r="D6" s="2">
        <f>ABS(C6)</f>
        <v>8.3333333333333357</v>
      </c>
      <c r="E6" s="2">
        <f>C6/A6</f>
        <v>-0.27777777777777785</v>
      </c>
      <c r="F6" s="2">
        <f>C6^2</f>
        <v>69.444444444444485</v>
      </c>
    </row>
    <row r="7" ht="14.25">
      <c r="A7" s="2">
        <v>60</v>
      </c>
      <c r="B7" s="2">
        <f>AVERAGEA(A2:A7)</f>
        <v>38.333333333333336</v>
      </c>
      <c r="C7" s="2">
        <f>A7-B7</f>
        <v>21.666666666666664</v>
      </c>
      <c r="D7" s="2">
        <f>ABS(C7)</f>
        <v>21.666666666666664</v>
      </c>
      <c r="E7" s="2">
        <f>C7/A7</f>
        <v>0.36111111111111105</v>
      </c>
      <c r="F7" s="2">
        <f>C7^2</f>
        <v>469.44444444444434</v>
      </c>
    </row>
    <row r="9" ht="14.25">
      <c r="A9" s="3" t="s">
        <v>7</v>
      </c>
      <c r="B9" s="2">
        <v>6</v>
      </c>
      <c r="C9" s="1">
        <f>1/(B9-1)</f>
        <v>0.20000000000000001</v>
      </c>
    </row>
    <row r="10" ht="14.25">
      <c r="A10" s="3" t="s">
        <v>8</v>
      </c>
      <c r="B10" s="3">
        <f>C9*SUM(D3:D7)</f>
        <v>12.333333333333334</v>
      </c>
    </row>
    <row r="11" ht="14.25">
      <c r="A11" s="3" t="s">
        <v>9</v>
      </c>
      <c r="B11" s="2">
        <f>C9*SUM(ABS(E3:E7))</f>
        <v>0.36611111111111116</v>
      </c>
    </row>
    <row r="12" ht="14.25">
      <c r="A12" s="3" t="s">
        <v>10</v>
      </c>
      <c r="B12" s="2">
        <f>C9*SUM(F3:F7)</f>
        <v>202.77777777777777</v>
      </c>
    </row>
    <row r="13" ht="14.25">
      <c r="A13" s="3" t="s">
        <v>11</v>
      </c>
      <c r="B13" s="2">
        <f>SQRT(B12)</f>
        <v>14.240006242195886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2026-09-11T07:04:34Z</dcterms:modified>
</cp:coreProperties>
</file>